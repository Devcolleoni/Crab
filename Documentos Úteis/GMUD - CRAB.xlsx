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agame\Downloads\"/>
    </mc:Choice>
  </mc:AlternateContent>
  <xr:revisionPtr revIDLastSave="23" documentId="13_ncr:1_{339E2D15-817B-49E7-88FB-38E8621C2615}" xr6:coauthVersionLast="47" xr6:coauthVersionMax="47" xr10:uidLastSave="{2CB8D3CE-2162-4864-9861-301E0AB75609}"/>
  <bookViews>
    <workbookView xWindow="-108" yWindow="-108" windowWidth="23256" windowHeight="12456" tabRatio="746" firstSheet="2" activeTab="2" xr2:uid="{BD701F59-E6FD-40A0-AD9D-F1483A638658}"/>
  </bookViews>
  <sheets>
    <sheet name="AC2 SIS" sheetId="13" state="hidden" r:id="rId1"/>
    <sheet name="Atend Grp" sheetId="9" state="hidden" r:id="rId2"/>
    <sheet name="GMUD" sheetId="16" r:id="rId3"/>
    <sheet name="Priorização Estimativa" sheetId="8" state="hidden" r:id="rId4"/>
  </sheets>
  <definedNames>
    <definedName name="_xlnm.Print_Area" localSheetId="0">'AC2 SIS'!$A$1:$A$18</definedName>
    <definedName name="_xlnm.Print_Area" localSheetId="2">GMUD!$A$1:$H$45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I9" i="13" l="1"/>
  <c r="H9" i="13"/>
  <c r="I8" i="13"/>
  <c r="D9" i="13" s="1"/>
  <c r="E9" i="13" l="1"/>
  <c r="F9" i="13"/>
  <c r="G9" i="13"/>
  <c r="L24" i="8" l="1"/>
  <c r="H9" i="8"/>
  <c r="H11" i="8"/>
  <c r="H15" i="8"/>
  <c r="H14" i="8"/>
  <c r="H13" i="8"/>
  <c r="H12" i="8"/>
  <c r="H10" i="8"/>
  <c r="L26" i="8"/>
  <c r="L25" i="8"/>
</calcChain>
</file>

<file path=xl/sharedStrings.xml><?xml version="1.0" encoding="utf-8"?>
<sst xmlns="http://schemas.openxmlformats.org/spreadsheetml/2006/main" count="223" uniqueCount="127">
  <si>
    <t>Provas feitas em até 20 minutos</t>
  </si>
  <si>
    <t>Notas</t>
  </si>
  <si>
    <t>&lt;5</t>
  </si>
  <si>
    <t>Entre 6,1 e 7,9</t>
  </si>
  <si>
    <t>Entre 8 e 8,9</t>
  </si>
  <si>
    <t>Entre 9 e 9,5</t>
  </si>
  <si>
    <t>TOTAL</t>
  </si>
  <si>
    <t>QTD</t>
  </si>
  <si>
    <t>%</t>
  </si>
  <si>
    <t>Atendimento aos Grupos - Disciplina TI - Turma 1CCOB - 26.1</t>
  </si>
  <si>
    <t>12 GRUPOS</t>
  </si>
  <si>
    <t>Apresentações da Sprint 02</t>
  </si>
  <si>
    <t>Horário</t>
  </si>
  <si>
    <t>QUI</t>
  </si>
  <si>
    <t>Data</t>
  </si>
  <si>
    <t>Dia</t>
  </si>
  <si>
    <t>Grupo</t>
  </si>
  <si>
    <t>Início</t>
  </si>
  <si>
    <t>Término</t>
  </si>
  <si>
    <t>Local</t>
  </si>
  <si>
    <t xml:space="preserve">Tema </t>
  </si>
  <si>
    <t>PO</t>
  </si>
  <si>
    <t>REQUISIÇÃO DE MUDANÇA – REQUEST FOR CHANGE (RFC)</t>
  </si>
  <si>
    <t>Emergencial (     )</t>
  </si>
  <si>
    <t>Normal (  X   )</t>
  </si>
  <si>
    <t>Padrão (     )</t>
  </si>
  <si>
    <t>Empresa:</t>
  </si>
  <si>
    <t>Crab</t>
  </si>
  <si>
    <t>Data Criação</t>
  </si>
  <si>
    <t>Nome do Projeto:</t>
  </si>
  <si>
    <t>Implantação do Sistema SIMA</t>
  </si>
  <si>
    <t>Data GMUD</t>
  </si>
  <si>
    <t>Escopo da Atividade</t>
  </si>
  <si>
    <t xml:space="preserve">Objetivo da Mudança </t>
  </si>
  <si>
    <t>Implantar o sistema de gerenciamento de estoque</t>
  </si>
  <si>
    <t>Necessidade da Mudança</t>
  </si>
  <si>
    <t xml:space="preserve">Reduzir falhas no controle do estoque e ter uma melhor rastreabilidade de armazém  </t>
  </si>
  <si>
    <t>Resultado da Mudança</t>
  </si>
  <si>
    <t>Manter versão de segurança atualizada</t>
  </si>
  <si>
    <t>Duração da Mudança</t>
  </si>
  <si>
    <t>5 Horas</t>
  </si>
  <si>
    <t>Rollback (Voltar Versão Anterior)</t>
  </si>
  <si>
    <t>30 Minutos</t>
  </si>
  <si>
    <t>OBS:</t>
  </si>
  <si>
    <t xml:space="preserve">Impactos </t>
  </si>
  <si>
    <t>Positivos</t>
  </si>
  <si>
    <t>Negativos</t>
  </si>
  <si>
    <t>Automatização do controle de estoque, redução de falhas humanas, disponibilização de dashboards para tomada de decisões e visão do estoque</t>
  </si>
  <si>
    <t>Indisponibilidade dos sistemas durante instalção/manutenções, pequeno risco de falhas na coleta dos dados</t>
  </si>
  <si>
    <t>Aprovações</t>
  </si>
  <si>
    <t>Aprovado</t>
  </si>
  <si>
    <t>Departamentos</t>
  </si>
  <si>
    <t>Responsável</t>
  </si>
  <si>
    <t>Sim</t>
  </si>
  <si>
    <t>Não</t>
  </si>
  <si>
    <t>Operacional Logístico</t>
  </si>
  <si>
    <t>Gustavo Coleoni</t>
  </si>
  <si>
    <t>X</t>
  </si>
  <si>
    <t>Infraestrutura</t>
  </si>
  <si>
    <t>Paulo Henrique</t>
  </si>
  <si>
    <t>Desenvolvedor Front-end</t>
  </si>
  <si>
    <t>Julia Barros</t>
  </si>
  <si>
    <t>Gestão de Projetos</t>
  </si>
  <si>
    <t>Agamenon da Silva</t>
  </si>
  <si>
    <t>Desenvolvedor Back-end</t>
  </si>
  <si>
    <t>Gabriel Fernandes</t>
  </si>
  <si>
    <t>Banco de dados</t>
  </si>
  <si>
    <t>Matheus Galeani</t>
  </si>
  <si>
    <t>Supervisor de Operações</t>
  </si>
  <si>
    <t>Rafael Biagi</t>
  </si>
  <si>
    <t>Detalhamento</t>
  </si>
  <si>
    <t>Atividade</t>
  </si>
  <si>
    <t>Contato RESP</t>
  </si>
  <si>
    <t>Backup</t>
  </si>
  <si>
    <t>Contato Back</t>
  </si>
  <si>
    <t>Realizar backup da versão atual</t>
  </si>
  <si>
    <t>André Santos</t>
  </si>
  <si>
    <t>(11) 95842-2314</t>
  </si>
  <si>
    <t>Thiago Silva</t>
  </si>
  <si>
    <t>(11) 98558-7585</t>
  </si>
  <si>
    <t>Teste do Backup</t>
  </si>
  <si>
    <t>Acessar conta Coorporativa para liberação das versões com Fabricante</t>
  </si>
  <si>
    <t>Baixar versão atual</t>
  </si>
  <si>
    <t>Realizar atualização</t>
  </si>
  <si>
    <t>Testar Dispositivo e suas conexões</t>
  </si>
  <si>
    <t>Realizar teste de performance</t>
  </si>
  <si>
    <t>Documentar ação para atualizar base de conhecimento</t>
  </si>
  <si>
    <t>Comunicar todos os envolvidos sobre finalização das tarefas</t>
  </si>
  <si>
    <t>Considerações Finais</t>
  </si>
  <si>
    <t xml:space="preserve">Manutenção ocorreu conforme previsto na GMUD - Sem intercorrências </t>
  </si>
  <si>
    <t>Priorização</t>
  </si>
  <si>
    <t>Ponto de Vista Cliente e PI</t>
  </si>
  <si>
    <t>O que Fazer 1º?</t>
  </si>
  <si>
    <t>Pontuação</t>
  </si>
  <si>
    <t>Classificação</t>
  </si>
  <si>
    <t>Atividades</t>
  </si>
  <si>
    <t>Requisito</t>
  </si>
  <si>
    <t>Benefício Negócio</t>
  </si>
  <si>
    <t>Benefício Usuário</t>
  </si>
  <si>
    <t>Custo</t>
  </si>
  <si>
    <t>Prioridade</t>
  </si>
  <si>
    <t>Essencial</t>
  </si>
  <si>
    <t>Tela Inicial</t>
  </si>
  <si>
    <t>Importante</t>
  </si>
  <si>
    <t>Anterior</t>
  </si>
  <si>
    <t>Cadastro Usuário</t>
  </si>
  <si>
    <t>Desejável</t>
  </si>
  <si>
    <t>Tela de Login</t>
  </si>
  <si>
    <t>Recuperação Senha</t>
  </si>
  <si>
    <t>Dificuldade Técnica Equipe</t>
  </si>
  <si>
    <t>Manutenção Cadastro</t>
  </si>
  <si>
    <t>Esforço</t>
  </si>
  <si>
    <t>Solicitação Passagens</t>
  </si>
  <si>
    <t>Grande</t>
  </si>
  <si>
    <t>Fluxo de Aprovação Passagens</t>
  </si>
  <si>
    <t>Médio</t>
  </si>
  <si>
    <t>Pequeno</t>
  </si>
  <si>
    <t>Estimativa</t>
  </si>
  <si>
    <t>Atual</t>
  </si>
  <si>
    <t>Cliente</t>
  </si>
  <si>
    <t>Tamanho</t>
  </si>
  <si>
    <t>TAM FIB</t>
  </si>
  <si>
    <t>Sprint</t>
  </si>
  <si>
    <t>Qtd</t>
  </si>
  <si>
    <t>SP01</t>
  </si>
  <si>
    <t>SP02</t>
  </si>
  <si>
    <t>SP03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</si>
</sst>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dd/mm/yy;@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1"/>
      <color rgb="FF000000"/>
      <name val="Calibri"/>
      <family val="2"/>
    </font>
    <font>
      <b/>
      <sz val="14"/>
      <color theme="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0762C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145A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1" fillId="0" borderId="0"/>
  </cellStyleXfs>
  <cellXfs count="110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4" fillId="0" borderId="0" xfId="2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4" fillId="0" borderId="0" xfId="0" applyFont="1"/>
    <xf numFmtId="0" fontId="3" fillId="0" borderId="20" xfId="0" applyFont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/>
    <xf numFmtId="0" fontId="3" fillId="0" borderId="21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0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165" fontId="2" fillId="2" borderId="1" xfId="0" applyNumberFormat="1" applyFont="1" applyFill="1" applyBorder="1" applyAlignment="1">
      <alignment horizontal="center"/>
    </xf>
    <xf numFmtId="0" fontId="3" fillId="6" borderId="0" xfId="0" applyFont="1" applyFill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10" fillId="6" borderId="1" xfId="0" applyFont="1" applyFill="1" applyBorder="1" applyAlignment="1">
      <alignment horizontal="righ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20" fontId="8" fillId="0" borderId="12" xfId="0" applyNumberFormat="1" applyFont="1" applyBorder="1" applyAlignment="1">
      <alignment horizontal="center"/>
    </xf>
    <xf numFmtId="0" fontId="8" fillId="0" borderId="0" xfId="0" applyFont="1"/>
    <xf numFmtId="0" fontId="8" fillId="0" borderId="13" xfId="0" applyFont="1" applyBorder="1" applyAlignment="1">
      <alignment horizontal="center"/>
    </xf>
    <xf numFmtId="20" fontId="8" fillId="0" borderId="13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14" fontId="3" fillId="7" borderId="6" xfId="0" applyNumberFormat="1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20" fontId="3" fillId="7" borderId="12" xfId="0" applyNumberFormat="1" applyFont="1" applyFill="1" applyBorder="1" applyAlignment="1">
      <alignment horizontal="center"/>
    </xf>
    <xf numFmtId="20" fontId="3" fillId="7" borderId="0" xfId="0" applyNumberFormat="1" applyFont="1" applyFill="1" applyAlignment="1">
      <alignment horizontal="center"/>
    </xf>
    <xf numFmtId="0" fontId="3" fillId="7" borderId="12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left"/>
    </xf>
    <xf numFmtId="0" fontId="4" fillId="0" borderId="24" xfId="0" applyFont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2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vertical="center" wrapText="1"/>
    </xf>
    <xf numFmtId="21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/>
    </xf>
    <xf numFmtId="21" fontId="10" fillId="3" borderId="2" xfId="0" applyNumberFormat="1" applyFont="1" applyFill="1" applyBorder="1" applyAlignment="1">
      <alignment horizontal="center" vertical="center" wrapText="1"/>
    </xf>
    <xf numFmtId="21" fontId="10" fillId="3" borderId="3" xfId="0" applyNumberFormat="1" applyFont="1" applyFill="1" applyBorder="1" applyAlignment="1">
      <alignment horizontal="center" vertical="center" wrapText="1"/>
    </xf>
    <xf numFmtId="164" fontId="10" fillId="6" borderId="1" xfId="4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6" fillId="0" borderId="14" xfId="0" applyFont="1" applyBorder="1" applyAlignment="1">
      <alignment horizontal="center"/>
    </xf>
  </cellXfs>
  <cellStyles count="6">
    <cellStyle name="Moeda" xfId="4" builtinId="4"/>
    <cellStyle name="Normal" xfId="0" builtinId="0"/>
    <cellStyle name="Normal 2 137" xfId="1" xr:uid="{5A223613-20D4-49F9-81CC-18FAA51D5341}"/>
    <cellStyle name="Normal 3" xfId="5" xr:uid="{1FB4734E-B071-4E02-BD37-5C3C6E8B6BB9}"/>
    <cellStyle name="Normal 5 2" xfId="3" xr:uid="{4D7D659B-A431-41D7-92FF-AE90D32CDAFE}"/>
    <cellStyle name="Porcentagem" xfId="2" builtinId="5"/>
  </cellStyles>
  <dxfs count="0"/>
  <tableStyles count="0" defaultTableStyle="TableStyleMedium2" defaultPivotStyle="PivotStyleLight16"/>
  <colors>
    <mruColors>
      <color rgb="FF63666A"/>
      <color rgb="FF63B1BC"/>
      <color rgb="FFEFB661"/>
      <color rgb="FF0762C8"/>
      <color rgb="FFF0145A"/>
      <color rgb="FFC814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sz="1050" b="1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Prova TI AC2</a:t>
            </a:r>
          </a:p>
        </c:rich>
      </c:tx>
      <c:layout>
        <c:manualLayout>
          <c:xMode val="edge"/>
          <c:yMode val="edge"/>
          <c:x val="0"/>
          <c:y val="4.62967606756161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215882986271329"/>
          <c:y val="0.20122484689413822"/>
          <c:w val="0.85318458538618402"/>
          <c:h val="0.6731884954171303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F0145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'AC2 SIS'!$D$7:$H$7</c:f>
              <c:strCache>
                <c:ptCount val="5"/>
                <c:pt idx="0">
                  <c:v>&lt;5</c:v>
                </c:pt>
                <c:pt idx="1">
                  <c:v>Entre 6,1 e 7,9</c:v>
                </c:pt>
                <c:pt idx="2">
                  <c:v>Entre 8 e 8,9</c:v>
                </c:pt>
                <c:pt idx="3">
                  <c:v>Entre 9 e 9,5</c:v>
                </c:pt>
                <c:pt idx="4">
                  <c:v>10</c:v>
                </c:pt>
              </c:strCache>
            </c:strRef>
          </c:cat>
          <c:val>
            <c:numRef>
              <c:f>'AC2 SIS'!$D$9:$H$9</c:f>
              <c:numCache>
                <c:formatCode>0%</c:formatCode>
                <c:ptCount val="5"/>
                <c:pt idx="0">
                  <c:v>0</c:v>
                </c:pt>
                <c:pt idx="1">
                  <c:v>0.33333333333333331</c:v>
                </c:pt>
                <c:pt idx="2">
                  <c:v>0.4</c:v>
                </c:pt>
                <c:pt idx="3">
                  <c:v>0.26666666666666666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6-4647-A13C-4991505557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0110544"/>
        <c:axId val="320111984"/>
      </c:barChart>
      <c:catAx>
        <c:axId val="3201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pt-BR"/>
          </a:p>
        </c:txPr>
        <c:crossAx val="320111984"/>
        <c:crosses val="autoZero"/>
        <c:auto val="1"/>
        <c:lblAlgn val="ctr"/>
        <c:lblOffset val="100"/>
        <c:noMultiLvlLbl val="0"/>
      </c:catAx>
      <c:valAx>
        <c:axId val="320111984"/>
        <c:scaling>
          <c:orientation val="minMax"/>
          <c:max val="0.8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pt-BR"/>
          </a:p>
        </c:txPr>
        <c:crossAx val="3201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499534</xdr:colOff>
      <xdr:row>9</xdr:row>
      <xdr:rowOff>126999</xdr:rowOff>
    </xdr:from>
    <xdr:to>
      <xdr:col>9</xdr:col>
      <xdr:colOff>178647</xdr:colOff>
      <xdr:row>25</xdr:row>
      <xdr:rowOff>110065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DE34D5B-FEAF-4B01-88CE-8ED37954B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142874</xdr:colOff>
      <xdr:row>0</xdr:row>
      <xdr:rowOff>99060</xdr:rowOff>
    </xdr:from>
    <xdr:to>
      <xdr:col>21</xdr:col>
      <xdr:colOff>28575</xdr:colOff>
      <xdr:row>14</xdr:row>
      <xdr:rowOff>144780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86CF626-3A87-4CD2-ACFC-E66E00C367F1}"/>
            </a:ext>
          </a:extLst>
        </xdr:cNvPr>
        <xdr:cNvSpPr/>
      </xdr:nvSpPr>
      <xdr:spPr>
        <a:xfrm>
          <a:off x="9163049" y="99060"/>
          <a:ext cx="2247901" cy="257937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200">
            <a:solidFill>
              <a:schemeClr val="bg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Olá. Rafael Fernandes. Boa</a:t>
          </a:r>
          <a:r>
            <a:rPr lang="pt-BR" sz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Tarde.</a:t>
          </a: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Combinado.</a:t>
          </a: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Data: 21/10/24 – SEGUNDA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Horário: 08h30 até 09h30</a:t>
          </a: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Local: Sala de reunião S2</a:t>
          </a: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Grupo 02</a:t>
          </a:r>
          <a:b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Turma 1ADSB 24.2</a:t>
          </a:r>
        </a:p>
        <a:p>
          <a:pPr algn="l"/>
          <a:endParaRPr lang="pt-BR" sz="12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37</xdr:row>
      <xdr:rowOff>211667</xdr:rowOff>
    </xdr:from>
    <xdr:to>
      <xdr:col>15</xdr:col>
      <xdr:colOff>550334</xdr:colOff>
      <xdr:row>39</xdr:row>
      <xdr:rowOff>179916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02963E1-DA1A-4946-869F-680BE7CB9763}"/>
            </a:ext>
          </a:extLst>
        </xdr:cNvPr>
        <xdr:cNvSpPr/>
      </xdr:nvSpPr>
      <xdr:spPr>
        <a:xfrm>
          <a:off x="10534650" y="6898217"/>
          <a:ext cx="3122084" cy="77787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 kern="1200">
              <a:solidFill>
                <a:sysClr val="windowText" lastClr="000000"/>
              </a:solidFill>
            </a:rPr>
            <a:t>Faixa</a:t>
          </a:r>
          <a:r>
            <a:rPr lang="pt-BR" sz="1800" kern="1200" baseline="0">
              <a:solidFill>
                <a:sysClr val="windowText" lastClr="000000"/>
              </a:solidFill>
            </a:rPr>
            <a:t> de Horário Crítico</a:t>
          </a:r>
        </a:p>
        <a:p>
          <a:pPr algn="l"/>
          <a:r>
            <a:rPr lang="pt-BR" sz="1800" kern="1200" baseline="0">
              <a:solidFill>
                <a:sysClr val="windowText" lastClr="000000"/>
              </a:solidFill>
            </a:rPr>
            <a:t>Tempo para Término X Rollback</a:t>
          </a:r>
          <a:endParaRPr lang="pt-BR" sz="1800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95250</xdr:colOff>
      <xdr:row>38</xdr:row>
      <xdr:rowOff>31750</xdr:rowOff>
    </xdr:from>
    <xdr:to>
      <xdr:col>10</xdr:col>
      <xdr:colOff>222250</xdr:colOff>
      <xdr:row>39</xdr:row>
      <xdr:rowOff>31749</xdr:rowOff>
    </xdr:to>
    <xdr:sp macro="" textlink="">
      <xdr:nvSpPr>
        <xdr:cNvPr id="3" name="Seta: para a Esquerda 2">
          <a:extLst>
            <a:ext uri="{FF2B5EF4-FFF2-40B4-BE49-F238E27FC236}">
              <a16:creationId xmlns:a16="http://schemas.microsoft.com/office/drawing/2014/main" id="{E7FF3496-DAA0-499B-8C75-8E240B1855DE}"/>
            </a:ext>
          </a:extLst>
        </xdr:cNvPr>
        <xdr:cNvSpPr/>
      </xdr:nvSpPr>
      <xdr:spPr>
        <a:xfrm>
          <a:off x="9534525" y="7042150"/>
          <a:ext cx="841375" cy="485774"/>
        </a:xfrm>
        <a:prstGeom prst="leftArrow">
          <a:avLst/>
        </a:prstGeom>
        <a:solidFill>
          <a:srgbClr val="F0145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DCE7-89D4-4985-A89E-8D70382591F1}">
  <dimension ref="C5:I9"/>
  <sheetViews>
    <sheetView showGridLines="0" zoomScale="90" zoomScaleNormal="90" workbookViewId="0">
      <selection activeCell="T23" sqref="T23"/>
    </sheetView>
  </sheetViews>
  <sheetFormatPr defaultColWidth="8.85546875" defaultRowHeight="12.6"/>
  <cols>
    <col min="1" max="1" width="1.42578125" style="1" customWidth="1"/>
    <col min="2" max="3" width="8.85546875" style="1"/>
    <col min="4" max="4" width="10.140625" style="1" bestFit="1" customWidth="1"/>
    <col min="5" max="5" width="16.5703125" style="1" bestFit="1" customWidth="1"/>
    <col min="6" max="7" width="14.5703125" style="1" bestFit="1" customWidth="1"/>
    <col min="8" max="8" width="4.5703125" style="1" bestFit="1" customWidth="1"/>
    <col min="9" max="9" width="7.85546875" style="1" bestFit="1" customWidth="1"/>
    <col min="10" max="16384" width="8.85546875" style="1"/>
  </cols>
  <sheetData>
    <row r="5" spans="3:9">
      <c r="C5" s="34" t="s">
        <v>0</v>
      </c>
    </row>
    <row r="7" spans="3:9"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  <c r="H7" s="10">
        <v>10</v>
      </c>
      <c r="I7" s="10" t="s">
        <v>6</v>
      </c>
    </row>
    <row r="8" spans="3:9">
      <c r="C8" s="3" t="s">
        <v>7</v>
      </c>
      <c r="D8" s="3">
        <v>0</v>
      </c>
      <c r="E8" s="3">
        <v>5</v>
      </c>
      <c r="F8" s="3">
        <v>6</v>
      </c>
      <c r="G8" s="3">
        <v>4</v>
      </c>
      <c r="H8" s="3">
        <v>0</v>
      </c>
      <c r="I8" s="3">
        <f>SUM(D8:H8)</f>
        <v>15</v>
      </c>
    </row>
    <row r="9" spans="3:9">
      <c r="C9" s="3" t="s">
        <v>8</v>
      </c>
      <c r="D9" s="9">
        <f>D8/$I$8</f>
        <v>0</v>
      </c>
      <c r="E9" s="9">
        <f>E8/$I$8</f>
        <v>0.33333333333333331</v>
      </c>
      <c r="F9" s="9">
        <f>F8/$I$8</f>
        <v>0.4</v>
      </c>
      <c r="G9" s="9">
        <f>G8/$I$8</f>
        <v>0.26666666666666666</v>
      </c>
      <c r="H9" s="9">
        <f>H8/$I$8</f>
        <v>0</v>
      </c>
      <c r="I9" s="9">
        <f>SUM(D9:H9)</f>
        <v>1</v>
      </c>
    </row>
  </sheetData>
  <pageMargins left="0" right="0" top="0" bottom="0" header="0" footer="0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8F7F-173B-479C-AEC1-E561FE5C9127}">
  <dimension ref="B1:Q19"/>
  <sheetViews>
    <sheetView showGridLines="0" workbookViewId="0">
      <selection activeCell="V5" sqref="V5"/>
    </sheetView>
  </sheetViews>
  <sheetFormatPr defaultColWidth="8.85546875" defaultRowHeight="12.6"/>
  <cols>
    <col min="1" max="1" width="2.42578125" style="1" customWidth="1"/>
    <col min="2" max="2" width="11.85546875" style="8" bestFit="1" customWidth="1"/>
    <col min="3" max="3" width="4.7109375" style="8" bestFit="1" customWidth="1"/>
    <col min="4" max="4" width="7.42578125" style="8" bestFit="1" customWidth="1"/>
    <col min="5" max="5" width="7" style="8" bestFit="1" customWidth="1"/>
    <col min="6" max="6" width="9.7109375" style="8" bestFit="1" customWidth="1"/>
    <col min="7" max="7" width="16.28515625" style="8" bestFit="1" customWidth="1"/>
    <col min="8" max="8" width="13.5703125" style="8" bestFit="1" customWidth="1"/>
    <col min="9" max="9" width="18.28515625" style="8" bestFit="1" customWidth="1"/>
    <col min="10" max="10" width="1.5703125" style="1" customWidth="1"/>
    <col min="11" max="11" width="0.5703125" style="1" customWidth="1"/>
    <col min="12" max="12" width="1.5703125" style="1" customWidth="1"/>
    <col min="13" max="13" width="7.42578125" style="1" bestFit="1" customWidth="1"/>
    <col min="14" max="14" width="11.5703125" style="1" bestFit="1" customWidth="1"/>
    <col min="15" max="15" width="2.5703125" style="1" customWidth="1"/>
    <col min="16" max="16" width="7.140625" style="1" customWidth="1"/>
    <col min="17" max="17" width="11.5703125" style="1" bestFit="1" customWidth="1"/>
    <col min="18" max="21" width="8.85546875" style="1"/>
    <col min="22" max="22" width="33.42578125" style="1" customWidth="1"/>
    <col min="23" max="16384" width="8.85546875" style="1"/>
  </cols>
  <sheetData>
    <row r="1" spans="2:17" ht="14.45" customHeight="1"/>
    <row r="2" spans="2:17" ht="14.45" customHeight="1" thickBot="1">
      <c r="B2" s="107" t="s">
        <v>9</v>
      </c>
      <c r="C2" s="107"/>
      <c r="D2" s="107"/>
      <c r="E2" s="107"/>
      <c r="F2" s="107"/>
      <c r="G2" s="107"/>
      <c r="H2" s="108"/>
      <c r="I2" s="78" t="s">
        <v>10</v>
      </c>
      <c r="K2" s="54"/>
      <c r="M2" s="107" t="s">
        <v>11</v>
      </c>
      <c r="N2" s="107"/>
      <c r="O2" s="107"/>
      <c r="P2" s="107"/>
      <c r="Q2" s="107"/>
    </row>
    <row r="3" spans="2:17" ht="14.45" customHeight="1">
      <c r="K3" s="54"/>
    </row>
    <row r="4" spans="2:17" ht="14.45" customHeight="1">
      <c r="B4" s="3">
        <f>COUNTA(B6:B18)</f>
        <v>0</v>
      </c>
      <c r="E4" s="106" t="s">
        <v>12</v>
      </c>
      <c r="F4" s="106"/>
      <c r="K4" s="54"/>
      <c r="M4" s="3"/>
      <c r="N4" s="3" t="s">
        <v>13</v>
      </c>
      <c r="P4" s="3"/>
      <c r="Q4" s="3" t="s">
        <v>13</v>
      </c>
    </row>
    <row r="5" spans="2:17" ht="14.45" customHeight="1">
      <c r="B5" s="48" t="s">
        <v>14</v>
      </c>
      <c r="C5" s="6" t="s">
        <v>15</v>
      </c>
      <c r="D5" s="6" t="s">
        <v>16</v>
      </c>
      <c r="E5" s="6" t="s">
        <v>17</v>
      </c>
      <c r="F5" s="49" t="s">
        <v>18</v>
      </c>
      <c r="G5" s="6" t="s">
        <v>19</v>
      </c>
      <c r="H5" s="6" t="s">
        <v>20</v>
      </c>
      <c r="I5" s="6" t="s">
        <v>21</v>
      </c>
      <c r="K5" s="54"/>
      <c r="M5" s="6" t="s">
        <v>16</v>
      </c>
      <c r="N5" s="53"/>
      <c r="P5" s="6" t="s">
        <v>16</v>
      </c>
      <c r="Q5" s="53"/>
    </row>
    <row r="6" spans="2:17" ht="14.45" customHeight="1">
      <c r="B6" s="72"/>
      <c r="C6" s="73"/>
      <c r="D6" s="73"/>
      <c r="E6" s="74"/>
      <c r="F6" s="75"/>
      <c r="G6" s="76"/>
      <c r="H6" s="77"/>
      <c r="I6" s="77"/>
      <c r="K6" s="54"/>
      <c r="M6" s="65"/>
      <c r="N6" s="66"/>
      <c r="O6" s="67"/>
      <c r="P6" s="65"/>
      <c r="Q6" s="66"/>
    </row>
    <row r="7" spans="2:17" ht="14.45" customHeight="1">
      <c r="B7" s="72"/>
      <c r="C7" s="73"/>
      <c r="D7" s="73"/>
      <c r="E7" s="74"/>
      <c r="F7" s="75"/>
      <c r="G7" s="76"/>
      <c r="H7" s="76"/>
      <c r="I7" s="76"/>
      <c r="K7" s="54"/>
      <c r="M7" s="65"/>
      <c r="N7" s="66"/>
      <c r="O7" s="67"/>
      <c r="P7" s="65"/>
      <c r="Q7" s="66"/>
    </row>
    <row r="8" spans="2:17" ht="14.45" customHeight="1">
      <c r="B8" s="72"/>
      <c r="C8" s="73"/>
      <c r="D8" s="73"/>
      <c r="E8" s="74"/>
      <c r="F8" s="75"/>
      <c r="G8" s="76"/>
      <c r="H8" s="76"/>
      <c r="I8" s="76"/>
      <c r="K8" s="54"/>
      <c r="M8" s="65"/>
      <c r="N8" s="66"/>
      <c r="O8" s="67"/>
      <c r="P8" s="65"/>
      <c r="Q8" s="66"/>
    </row>
    <row r="9" spans="2:17" ht="14.45" customHeight="1">
      <c r="B9" s="72"/>
      <c r="C9" s="73"/>
      <c r="D9" s="73"/>
      <c r="E9" s="74"/>
      <c r="F9" s="75"/>
      <c r="G9" s="76"/>
      <c r="H9" s="76"/>
      <c r="I9" s="76"/>
      <c r="K9" s="54"/>
      <c r="M9" s="65"/>
      <c r="N9" s="66"/>
      <c r="O9" s="67"/>
      <c r="P9" s="65"/>
      <c r="Q9" s="66"/>
    </row>
    <row r="10" spans="2:17" ht="14.45" customHeight="1">
      <c r="B10" s="72"/>
      <c r="C10" s="73"/>
      <c r="D10" s="73"/>
      <c r="E10" s="74"/>
      <c r="F10" s="75"/>
      <c r="G10" s="76"/>
      <c r="H10" s="76"/>
      <c r="I10" s="76"/>
      <c r="K10" s="54"/>
      <c r="M10" s="65"/>
      <c r="N10" s="66"/>
      <c r="O10" s="67"/>
      <c r="P10" s="65"/>
      <c r="Q10" s="66"/>
    </row>
    <row r="11" spans="2:17" ht="14.45" customHeight="1">
      <c r="B11" s="72"/>
      <c r="C11" s="73"/>
      <c r="D11" s="73"/>
      <c r="E11" s="74"/>
      <c r="F11" s="75"/>
      <c r="G11" s="76"/>
      <c r="H11" s="76"/>
      <c r="I11" s="76"/>
      <c r="K11" s="54"/>
      <c r="M11" s="68"/>
      <c r="N11" s="69"/>
      <c r="O11" s="67"/>
      <c r="P11" s="68"/>
      <c r="Q11" s="69"/>
    </row>
    <row r="12" spans="2:17" ht="14.45" customHeight="1">
      <c r="B12" s="72"/>
      <c r="C12" s="73"/>
      <c r="D12" s="73"/>
      <c r="E12" s="74"/>
      <c r="F12" s="75"/>
      <c r="G12" s="76"/>
      <c r="H12" s="76"/>
      <c r="I12" s="76"/>
      <c r="K12" s="54"/>
      <c r="P12" s="8"/>
      <c r="Q12" s="45"/>
    </row>
    <row r="13" spans="2:17" ht="14.45" customHeight="1">
      <c r="B13" s="72"/>
      <c r="C13" s="73"/>
      <c r="D13" s="73"/>
      <c r="E13" s="74"/>
      <c r="F13" s="75"/>
      <c r="G13" s="76"/>
      <c r="H13" s="76"/>
      <c r="I13" s="76"/>
      <c r="K13" s="54"/>
    </row>
    <row r="14" spans="2:17" ht="14.45" customHeight="1">
      <c r="B14" s="72"/>
      <c r="C14" s="73"/>
      <c r="D14" s="73"/>
      <c r="E14" s="74"/>
      <c r="F14" s="75"/>
      <c r="G14" s="76"/>
      <c r="H14" s="76"/>
      <c r="I14" s="76"/>
      <c r="K14" s="54"/>
    </row>
    <row r="15" spans="2:17" ht="14.45" customHeight="1">
      <c r="B15" s="72"/>
      <c r="C15" s="73"/>
      <c r="D15" s="73"/>
      <c r="E15" s="74"/>
      <c r="F15" s="75"/>
      <c r="G15" s="76"/>
      <c r="H15" s="76"/>
      <c r="I15" s="76"/>
      <c r="K15" s="54"/>
    </row>
    <row r="16" spans="2:17" ht="14.45" customHeight="1">
      <c r="B16" s="46"/>
      <c r="C16" s="25"/>
      <c r="D16" s="25"/>
      <c r="E16" s="50"/>
      <c r="F16" s="45"/>
      <c r="G16" s="51"/>
      <c r="H16" s="51"/>
      <c r="I16" s="51"/>
      <c r="K16" s="54"/>
    </row>
    <row r="17" spans="2:11" ht="14.45" customHeight="1">
      <c r="B17" s="46"/>
      <c r="C17" s="25"/>
      <c r="D17" s="25"/>
      <c r="E17" s="50"/>
      <c r="F17" s="45"/>
      <c r="G17" s="51"/>
      <c r="H17" s="51"/>
      <c r="I17" s="51"/>
      <c r="K17" s="54"/>
    </row>
    <row r="18" spans="2:11" ht="14.45" customHeight="1">
      <c r="B18" s="47"/>
      <c r="C18" s="26"/>
      <c r="D18" s="26"/>
      <c r="E18" s="26"/>
      <c r="F18" s="71"/>
      <c r="G18" s="52"/>
      <c r="H18" s="52"/>
      <c r="I18" s="52"/>
      <c r="K18" s="54"/>
    </row>
    <row r="19" spans="2:11" ht="14.45" customHeight="1"/>
  </sheetData>
  <mergeCells count="3">
    <mergeCell ref="E4:F4"/>
    <mergeCell ref="M2:Q2"/>
    <mergeCell ref="B2:H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43E2-6311-47AE-A04C-89043F68B941}">
  <dimension ref="B2:H48"/>
  <sheetViews>
    <sheetView showGridLines="0" tabSelected="1" topLeftCell="A22" zoomScale="90" zoomScaleNormal="90" workbookViewId="0">
      <selection activeCell="O25" sqref="O25"/>
    </sheetView>
  </sheetViews>
  <sheetFormatPr defaultColWidth="8.85546875" defaultRowHeight="12.6"/>
  <cols>
    <col min="1" max="1" width="3.7109375" style="1" customWidth="1"/>
    <col min="2" max="2" width="27" style="1" bestFit="1" customWidth="1"/>
    <col min="3" max="3" width="21.42578125" style="1" bestFit="1" customWidth="1"/>
    <col min="4" max="4" width="22.140625" style="1" customWidth="1"/>
    <col min="5" max="5" width="16" style="1" customWidth="1"/>
    <col min="6" max="6" width="18.28515625" style="1" bestFit="1" customWidth="1"/>
    <col min="7" max="7" width="14.7109375" style="1" bestFit="1" customWidth="1"/>
    <col min="8" max="8" width="18.28515625" style="1" bestFit="1" customWidth="1"/>
    <col min="9" max="9" width="1.85546875" style="1" customWidth="1"/>
    <col min="10" max="16384" width="8.85546875" style="1"/>
  </cols>
  <sheetData>
    <row r="2" spans="2:8" ht="12.75" customHeight="1">
      <c r="B2" s="97" t="s">
        <v>22</v>
      </c>
      <c r="C2" s="98"/>
      <c r="D2" s="98"/>
      <c r="E2" s="98"/>
      <c r="F2" s="98"/>
      <c r="G2" s="98"/>
      <c r="H2" s="99"/>
    </row>
    <row r="4" spans="2:8">
      <c r="B4" s="103" t="s">
        <v>23</v>
      </c>
      <c r="C4" s="104"/>
      <c r="D4" s="103" t="s">
        <v>24</v>
      </c>
      <c r="E4" s="105"/>
      <c r="F4" s="104"/>
      <c r="G4" s="103" t="s">
        <v>25</v>
      </c>
      <c r="H4" s="104"/>
    </row>
    <row r="6" spans="2:8" ht="12.75">
      <c r="B6" s="55" t="s">
        <v>26</v>
      </c>
      <c r="C6" s="93" t="s">
        <v>27</v>
      </c>
      <c r="D6" s="93"/>
      <c r="E6" s="56" t="s">
        <v>28</v>
      </c>
      <c r="F6" s="100">
        <v>46158</v>
      </c>
      <c r="G6" s="101"/>
      <c r="H6" s="102"/>
    </row>
    <row r="7" spans="2:8" ht="12.75">
      <c r="B7" s="55" t="s">
        <v>29</v>
      </c>
      <c r="C7" s="93" t="s">
        <v>30</v>
      </c>
      <c r="D7" s="93"/>
      <c r="E7" s="56" t="s">
        <v>31</v>
      </c>
      <c r="F7" s="100">
        <v>46160</v>
      </c>
      <c r="G7" s="101"/>
      <c r="H7" s="102"/>
    </row>
    <row r="8" spans="2:8" ht="12.75">
      <c r="B8" s="88" t="s">
        <v>32</v>
      </c>
      <c r="C8" s="88"/>
      <c r="D8" s="88"/>
      <c r="E8" s="88"/>
      <c r="F8" s="88"/>
      <c r="G8" s="88"/>
      <c r="H8" s="88"/>
    </row>
    <row r="9" spans="2:8" ht="12.75" customHeight="1">
      <c r="B9" s="57" t="s">
        <v>33</v>
      </c>
      <c r="C9" s="93" t="s">
        <v>34</v>
      </c>
      <c r="D9" s="93"/>
      <c r="E9" s="93"/>
      <c r="F9" s="93"/>
      <c r="G9" s="93"/>
      <c r="H9" s="93"/>
    </row>
    <row r="10" spans="2:8" ht="12.75" customHeight="1">
      <c r="B10" s="57" t="s">
        <v>35</v>
      </c>
      <c r="C10" s="93" t="s">
        <v>36</v>
      </c>
      <c r="D10" s="93"/>
      <c r="E10" s="93"/>
      <c r="F10" s="93"/>
      <c r="G10" s="93"/>
      <c r="H10" s="93"/>
    </row>
    <row r="11" spans="2:8" ht="12.75" customHeight="1">
      <c r="B11" s="57" t="s">
        <v>37</v>
      </c>
      <c r="C11" s="93" t="s">
        <v>38</v>
      </c>
      <c r="D11" s="93"/>
      <c r="E11" s="93"/>
      <c r="F11" s="93"/>
      <c r="G11" s="93"/>
      <c r="H11" s="93"/>
    </row>
    <row r="12" spans="2:8" ht="28.5" customHeight="1">
      <c r="B12" s="62" t="s">
        <v>39</v>
      </c>
      <c r="C12" s="85" t="s">
        <v>40</v>
      </c>
      <c r="D12" s="63" t="s">
        <v>17</v>
      </c>
      <c r="E12" s="94">
        <v>0.875</v>
      </c>
      <c r="F12" s="95"/>
      <c r="G12" s="63" t="s">
        <v>18</v>
      </c>
      <c r="H12" s="84">
        <v>8.3333333333333329E-2</v>
      </c>
    </row>
    <row r="13" spans="2:8" ht="28.5" customHeight="1">
      <c r="B13" s="82" t="s">
        <v>41</v>
      </c>
      <c r="C13" s="83" t="s">
        <v>42</v>
      </c>
      <c r="D13" s="96"/>
      <c r="E13" s="96"/>
      <c r="F13" s="96"/>
      <c r="G13" s="96"/>
      <c r="H13" s="96"/>
    </row>
    <row r="14" spans="2:8" ht="12.75">
      <c r="B14" s="61" t="s">
        <v>43</v>
      </c>
      <c r="C14" s="93"/>
      <c r="D14" s="93"/>
      <c r="E14" s="93"/>
      <c r="F14" s="93"/>
      <c r="G14" s="93"/>
      <c r="H14" s="93"/>
    </row>
    <row r="15" spans="2:8">
      <c r="B15" s="91" t="s">
        <v>44</v>
      </c>
      <c r="C15" s="91" t="s">
        <v>45</v>
      </c>
      <c r="D15" s="91"/>
      <c r="E15" s="91" t="s">
        <v>46</v>
      </c>
      <c r="F15" s="91"/>
      <c r="G15" s="91"/>
      <c r="H15" s="91"/>
    </row>
    <row r="16" spans="2:8" ht="12.6" customHeight="1">
      <c r="B16" s="91"/>
      <c r="C16" s="92" t="s">
        <v>47</v>
      </c>
      <c r="D16" s="92"/>
      <c r="E16" s="92" t="s">
        <v>48</v>
      </c>
      <c r="F16" s="92"/>
      <c r="G16" s="92"/>
      <c r="H16" s="92"/>
    </row>
    <row r="17" spans="2:8">
      <c r="B17" s="91"/>
      <c r="C17" s="92"/>
      <c r="D17" s="92"/>
      <c r="E17" s="92"/>
      <c r="F17" s="92"/>
      <c r="G17" s="92"/>
      <c r="H17" s="92"/>
    </row>
    <row r="18" spans="2:8">
      <c r="B18" s="91"/>
      <c r="C18" s="92"/>
      <c r="D18" s="92"/>
      <c r="E18" s="92"/>
      <c r="F18" s="92"/>
      <c r="G18" s="92"/>
      <c r="H18" s="92"/>
    </row>
    <row r="19" spans="2:8">
      <c r="B19" s="91"/>
      <c r="C19" s="92"/>
      <c r="D19" s="92"/>
      <c r="E19" s="92"/>
      <c r="F19" s="92"/>
      <c r="G19" s="92"/>
      <c r="H19" s="92"/>
    </row>
    <row r="20" spans="2:8">
      <c r="B20" s="91"/>
      <c r="C20" s="92"/>
      <c r="D20" s="92"/>
      <c r="E20" s="92"/>
      <c r="F20" s="92"/>
      <c r="G20" s="92"/>
      <c r="H20" s="92"/>
    </row>
    <row r="21" spans="2:8">
      <c r="B21" s="91"/>
      <c r="C21" s="92"/>
      <c r="D21" s="92"/>
      <c r="E21" s="92"/>
      <c r="F21" s="92"/>
      <c r="G21" s="92"/>
      <c r="H21" s="92"/>
    </row>
    <row r="22" spans="2:8">
      <c r="B22" s="91"/>
      <c r="C22" s="92"/>
      <c r="D22" s="92"/>
      <c r="E22" s="92"/>
      <c r="F22" s="92"/>
      <c r="G22" s="92"/>
      <c r="H22" s="92"/>
    </row>
    <row r="23" spans="2:8">
      <c r="B23" s="88" t="s">
        <v>49</v>
      </c>
      <c r="C23" s="88"/>
      <c r="D23" s="88"/>
      <c r="E23" s="88"/>
      <c r="F23" s="88"/>
      <c r="G23" s="88"/>
      <c r="H23" s="88"/>
    </row>
    <row r="24" spans="2:8">
      <c r="B24" s="59"/>
      <c r="C24" s="59"/>
      <c r="D24" s="89" t="s">
        <v>50</v>
      </c>
      <c r="E24" s="89"/>
      <c r="F24" s="89"/>
      <c r="G24" s="89"/>
      <c r="H24" s="89"/>
    </row>
    <row r="25" spans="2:8">
      <c r="B25" s="60" t="s">
        <v>51</v>
      </c>
      <c r="C25" s="60" t="s">
        <v>52</v>
      </c>
      <c r="D25" s="91" t="s">
        <v>53</v>
      </c>
      <c r="E25" s="91"/>
      <c r="F25" s="58"/>
      <c r="G25" s="90" t="s">
        <v>54</v>
      </c>
      <c r="H25" s="90"/>
    </row>
    <row r="26" spans="2:8" ht="12.75">
      <c r="B26" s="2" t="s">
        <v>55</v>
      </c>
      <c r="C26" s="2" t="s">
        <v>56</v>
      </c>
      <c r="D26" s="87" t="s">
        <v>57</v>
      </c>
      <c r="E26" s="87"/>
      <c r="F26" s="2"/>
      <c r="G26" s="87"/>
      <c r="H26" s="87"/>
    </row>
    <row r="27" spans="2:8" ht="12.75">
      <c r="B27" s="2" t="s">
        <v>58</v>
      </c>
      <c r="C27" s="2" t="s">
        <v>59</v>
      </c>
      <c r="D27" s="87" t="s">
        <v>57</v>
      </c>
      <c r="E27" s="87"/>
      <c r="F27" s="2"/>
      <c r="G27" s="87"/>
      <c r="H27" s="87"/>
    </row>
    <row r="28" spans="2:8" ht="12.75">
      <c r="B28" s="2" t="s">
        <v>60</v>
      </c>
      <c r="C28" s="2" t="s">
        <v>61</v>
      </c>
      <c r="D28" s="87" t="s">
        <v>57</v>
      </c>
      <c r="E28" s="87"/>
      <c r="F28" s="2"/>
      <c r="G28" s="87"/>
      <c r="H28" s="87"/>
    </row>
    <row r="29" spans="2:8" ht="12.75">
      <c r="B29" s="2" t="s">
        <v>62</v>
      </c>
      <c r="C29" s="2" t="s">
        <v>63</v>
      </c>
      <c r="D29" s="87" t="s">
        <v>57</v>
      </c>
      <c r="E29" s="87"/>
      <c r="F29" s="2"/>
      <c r="G29" s="87"/>
      <c r="H29" s="87"/>
    </row>
    <row r="30" spans="2:8" ht="12.75">
      <c r="B30" s="2" t="s">
        <v>64</v>
      </c>
      <c r="C30" s="2" t="s">
        <v>65</v>
      </c>
      <c r="D30" s="87" t="s">
        <v>57</v>
      </c>
      <c r="E30" s="87"/>
      <c r="F30" s="2"/>
      <c r="G30" s="87"/>
      <c r="H30" s="87"/>
    </row>
    <row r="31" spans="2:8" ht="12.75">
      <c r="B31" s="2" t="s">
        <v>66</v>
      </c>
      <c r="C31" s="2" t="s">
        <v>67</v>
      </c>
      <c r="D31" s="87" t="s">
        <v>57</v>
      </c>
      <c r="E31" s="87"/>
      <c r="F31" s="2"/>
      <c r="G31" s="87"/>
      <c r="H31" s="87"/>
    </row>
    <row r="32" spans="2:8" ht="12.75">
      <c r="B32" s="2" t="s">
        <v>68</v>
      </c>
      <c r="C32" s="2" t="s">
        <v>69</v>
      </c>
      <c r="D32" s="87" t="s">
        <v>57</v>
      </c>
      <c r="E32" s="87"/>
      <c r="F32" s="2"/>
      <c r="G32" s="87"/>
      <c r="H32" s="87"/>
    </row>
    <row r="33" spans="2:8">
      <c r="B33" s="88" t="s">
        <v>70</v>
      </c>
      <c r="C33" s="88"/>
      <c r="D33" s="88"/>
      <c r="E33" s="88"/>
      <c r="F33" s="88"/>
      <c r="G33" s="88"/>
      <c r="H33" s="88"/>
    </row>
    <row r="34" spans="2:8">
      <c r="B34" s="58" t="s">
        <v>71</v>
      </c>
      <c r="C34" s="58" t="s">
        <v>17</v>
      </c>
      <c r="D34" s="58" t="s">
        <v>18</v>
      </c>
      <c r="E34" s="58" t="s">
        <v>52</v>
      </c>
      <c r="F34" s="58" t="s">
        <v>72</v>
      </c>
      <c r="G34" s="58" t="s">
        <v>73</v>
      </c>
      <c r="H34" s="58" t="s">
        <v>74</v>
      </c>
    </row>
    <row r="35" spans="2:8" ht="25.15">
      <c r="B35" s="59" t="s">
        <v>75</v>
      </c>
      <c r="C35" s="64">
        <v>0.95833333333333337</v>
      </c>
      <c r="D35" s="64">
        <v>0.96875</v>
      </c>
      <c r="E35" s="2" t="s">
        <v>76</v>
      </c>
      <c r="F35" s="4" t="s">
        <v>77</v>
      </c>
      <c r="G35" s="2" t="s">
        <v>78</v>
      </c>
      <c r="H35" s="4" t="s">
        <v>79</v>
      </c>
    </row>
    <row r="36" spans="2:8">
      <c r="B36" s="59" t="s">
        <v>80</v>
      </c>
      <c r="C36" s="64">
        <v>0.96875</v>
      </c>
      <c r="D36" s="64">
        <v>0.97916666666666663</v>
      </c>
      <c r="E36" s="2" t="s">
        <v>76</v>
      </c>
      <c r="F36" s="4" t="s">
        <v>77</v>
      </c>
      <c r="G36" s="2" t="s">
        <v>78</v>
      </c>
      <c r="H36" s="4" t="s">
        <v>79</v>
      </c>
    </row>
    <row r="37" spans="2:8" ht="12.75" customHeight="1">
      <c r="B37" s="59" t="s">
        <v>81</v>
      </c>
      <c r="C37" s="64">
        <v>0.97916666666666663</v>
      </c>
      <c r="D37" s="64">
        <v>0</v>
      </c>
      <c r="E37" s="2" t="s">
        <v>76</v>
      </c>
      <c r="F37" s="4" t="s">
        <v>77</v>
      </c>
      <c r="G37" s="2" t="s">
        <v>78</v>
      </c>
      <c r="H37" s="4" t="s">
        <v>79</v>
      </c>
    </row>
    <row r="38" spans="2:8">
      <c r="B38" s="59" t="s">
        <v>82</v>
      </c>
      <c r="C38" s="64">
        <v>0</v>
      </c>
      <c r="D38" s="64">
        <v>1.0416666666666666E-2</v>
      </c>
      <c r="E38" s="2" t="s">
        <v>76</v>
      </c>
      <c r="F38" s="4" t="s">
        <v>77</v>
      </c>
      <c r="G38" s="2" t="s">
        <v>78</v>
      </c>
      <c r="H38" s="4" t="s">
        <v>79</v>
      </c>
    </row>
    <row r="39" spans="2:8">
      <c r="B39" s="59" t="s">
        <v>83</v>
      </c>
      <c r="C39" s="64">
        <v>1.0416666666666666E-2</v>
      </c>
      <c r="D39" s="64">
        <v>2.0833333333333332E-2</v>
      </c>
      <c r="E39" s="2" t="s">
        <v>76</v>
      </c>
      <c r="F39" s="4" t="s">
        <v>77</v>
      </c>
      <c r="G39" s="2" t="s">
        <v>78</v>
      </c>
      <c r="H39" s="4" t="s">
        <v>79</v>
      </c>
    </row>
    <row r="40" spans="2:8" ht="25.15">
      <c r="B40" s="59" t="s">
        <v>84</v>
      </c>
      <c r="C40" s="64">
        <v>2.0833333333333332E-2</v>
      </c>
      <c r="D40" s="64">
        <v>3.125E-2</v>
      </c>
      <c r="E40" s="2" t="s">
        <v>78</v>
      </c>
      <c r="F40" s="2" t="s">
        <v>79</v>
      </c>
      <c r="G40" s="2" t="s">
        <v>76</v>
      </c>
      <c r="H40" s="4" t="s">
        <v>77</v>
      </c>
    </row>
    <row r="41" spans="2:8" ht="12.75" customHeight="1">
      <c r="B41" s="59" t="s">
        <v>85</v>
      </c>
      <c r="C41" s="64">
        <v>3.125E-2</v>
      </c>
      <c r="D41" s="64">
        <v>5.2083333333333336E-2</v>
      </c>
      <c r="E41" s="2" t="s">
        <v>78</v>
      </c>
      <c r="F41" s="2" t="s">
        <v>79</v>
      </c>
      <c r="G41" s="2" t="s">
        <v>76</v>
      </c>
      <c r="H41" s="4" t="s">
        <v>77</v>
      </c>
    </row>
    <row r="42" spans="2:8" ht="12.6" customHeight="1">
      <c r="B42" s="79" t="s">
        <v>86</v>
      </c>
      <c r="C42" s="80">
        <v>5.2083333333333336E-2</v>
      </c>
      <c r="D42" s="80">
        <v>6.25E-2</v>
      </c>
      <c r="E42" s="70" t="s">
        <v>78</v>
      </c>
      <c r="F42" s="70" t="s">
        <v>79</v>
      </c>
      <c r="G42" s="70" t="s">
        <v>76</v>
      </c>
      <c r="H42" s="81" t="s">
        <v>77</v>
      </c>
    </row>
    <row r="43" spans="2:8" ht="37.9">
      <c r="B43" s="59" t="s">
        <v>87</v>
      </c>
      <c r="C43" s="64">
        <v>6.25E-2</v>
      </c>
      <c r="D43" s="64">
        <v>8.3333333333333329E-2</v>
      </c>
      <c r="E43" s="2" t="s">
        <v>78</v>
      </c>
      <c r="F43" s="2" t="s">
        <v>79</v>
      </c>
      <c r="G43" s="2" t="s">
        <v>76</v>
      </c>
      <c r="H43" s="4" t="s">
        <v>77</v>
      </c>
    </row>
    <row r="44" spans="2:8">
      <c r="B44" s="39" t="s">
        <v>88</v>
      </c>
      <c r="C44" s="39"/>
      <c r="D44" s="39"/>
      <c r="E44" s="39"/>
      <c r="F44" s="39"/>
      <c r="G44" s="39"/>
      <c r="H44" s="39"/>
    </row>
    <row r="45" spans="2:8" ht="50.45">
      <c r="B45" s="86" t="s">
        <v>89</v>
      </c>
      <c r="C45" s="86"/>
      <c r="D45" s="86"/>
      <c r="E45" s="86"/>
      <c r="F45" s="86"/>
      <c r="G45" s="86"/>
      <c r="H45" s="86"/>
    </row>
    <row r="46" spans="2:8">
      <c r="B46" s="86"/>
      <c r="C46" s="86"/>
      <c r="D46" s="86"/>
      <c r="E46" s="86"/>
      <c r="F46" s="86"/>
      <c r="G46" s="86"/>
      <c r="H46" s="86"/>
    </row>
    <row r="47" spans="2:8">
      <c r="B47" s="86"/>
      <c r="C47" s="86"/>
      <c r="D47" s="86"/>
      <c r="E47" s="86"/>
      <c r="F47" s="86"/>
      <c r="G47" s="86"/>
      <c r="H47" s="86"/>
    </row>
    <row r="48" spans="2:8">
      <c r="B48" s="86"/>
      <c r="C48" s="86"/>
      <c r="D48" s="86"/>
      <c r="E48" s="86"/>
      <c r="F48" s="86"/>
      <c r="G48" s="86"/>
      <c r="H48" s="86"/>
    </row>
  </sheetData>
  <mergeCells count="39">
    <mergeCell ref="B2:H2"/>
    <mergeCell ref="F6:H6"/>
    <mergeCell ref="F7:H7"/>
    <mergeCell ref="B8:H8"/>
    <mergeCell ref="C9:H9"/>
    <mergeCell ref="C6:D6"/>
    <mergeCell ref="C7:D7"/>
    <mergeCell ref="B4:C4"/>
    <mergeCell ref="G4:H4"/>
    <mergeCell ref="D4:F4"/>
    <mergeCell ref="C10:H10"/>
    <mergeCell ref="C11:H11"/>
    <mergeCell ref="E12:F12"/>
    <mergeCell ref="D13:H13"/>
    <mergeCell ref="C14:H14"/>
    <mergeCell ref="B15:B22"/>
    <mergeCell ref="E15:H15"/>
    <mergeCell ref="C16:D22"/>
    <mergeCell ref="E16:H22"/>
    <mergeCell ref="B23:H23"/>
    <mergeCell ref="C15:D15"/>
    <mergeCell ref="D24:H24"/>
    <mergeCell ref="G25:H25"/>
    <mergeCell ref="G26:H26"/>
    <mergeCell ref="G27:H27"/>
    <mergeCell ref="D28:E28"/>
    <mergeCell ref="G28:H28"/>
    <mergeCell ref="D27:E27"/>
    <mergeCell ref="D25:E25"/>
    <mergeCell ref="D26:E26"/>
    <mergeCell ref="D29:E29"/>
    <mergeCell ref="G29:H29"/>
    <mergeCell ref="B33:H33"/>
    <mergeCell ref="D30:E30"/>
    <mergeCell ref="G30:H30"/>
    <mergeCell ref="D31:E31"/>
    <mergeCell ref="G31:H31"/>
    <mergeCell ref="D32:E32"/>
    <mergeCell ref="G32:H32"/>
  </mergeCells>
  <pageMargins left="0" right="0" top="0" bottom="0" header="0" footer="0"/>
  <pageSetup paperSize="9"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64BB-D8DB-479C-B943-B48EAE3F5383}">
  <dimension ref="B1:Q31"/>
  <sheetViews>
    <sheetView showGridLines="0" zoomScale="90" zoomScaleNormal="90" workbookViewId="0">
      <selection activeCell="G29" sqref="G29"/>
    </sheetView>
  </sheetViews>
  <sheetFormatPr defaultColWidth="8.85546875" defaultRowHeight="12.6"/>
  <cols>
    <col min="1" max="1" width="1.42578125" style="1" customWidth="1"/>
    <col min="2" max="2" width="3.5703125" style="1" customWidth="1"/>
    <col min="3" max="3" width="12.140625" style="8" bestFit="1" customWidth="1"/>
    <col min="4" max="4" width="34.140625" style="1" bestFit="1" customWidth="1"/>
    <col min="5" max="5" width="14.5703125" style="1" bestFit="1" customWidth="1"/>
    <col min="6" max="6" width="10.5703125" style="1" bestFit="1" customWidth="1"/>
    <col min="7" max="7" width="9.85546875" style="1" bestFit="1" customWidth="1"/>
    <col min="8" max="8" width="11.85546875" style="1" bestFit="1" customWidth="1"/>
    <col min="9" max="9" width="1.42578125" style="1" customWidth="1"/>
    <col min="10" max="10" width="17.85546875" style="1" bestFit="1" customWidth="1"/>
    <col min="11" max="11" width="1.42578125" style="1" customWidth="1"/>
    <col min="12" max="12" width="15.5703125" style="1" customWidth="1"/>
    <col min="13" max="13" width="20.42578125" style="1" customWidth="1"/>
    <col min="14" max="14" width="6.42578125" style="1" customWidth="1"/>
    <col min="15" max="16" width="8.85546875" style="1"/>
    <col min="17" max="17" width="37.42578125" style="1" customWidth="1"/>
    <col min="18" max="16384" width="8.85546875" style="1"/>
  </cols>
  <sheetData>
    <row r="1" spans="2:17" ht="13.15" thickBot="1"/>
    <row r="2" spans="2:17">
      <c r="B2" s="28"/>
      <c r="C2" s="29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2:17">
      <c r="B3" s="32"/>
      <c r="N3" s="33"/>
    </row>
    <row r="4" spans="2:17" ht="18" thickBot="1">
      <c r="B4" s="32"/>
      <c r="C4" s="109" t="s">
        <v>90</v>
      </c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33"/>
    </row>
    <row r="5" spans="2:17">
      <c r="B5" s="32"/>
      <c r="N5" s="33"/>
    </row>
    <row r="6" spans="2:17">
      <c r="B6" s="32"/>
      <c r="L6" s="34" t="s">
        <v>91</v>
      </c>
      <c r="N6" s="33"/>
    </row>
    <row r="7" spans="2:17">
      <c r="B7" s="32"/>
      <c r="J7" s="3" t="s">
        <v>92</v>
      </c>
      <c r="L7" s="20" t="s">
        <v>93</v>
      </c>
      <c r="M7" s="21" t="s">
        <v>94</v>
      </c>
      <c r="N7" s="33"/>
    </row>
    <row r="8" spans="2:17" ht="28.15" customHeight="1">
      <c r="B8" s="32"/>
      <c r="C8" s="39" t="s">
        <v>95</v>
      </c>
      <c r="D8" s="39" t="s">
        <v>96</v>
      </c>
      <c r="E8" s="39" t="s">
        <v>97</v>
      </c>
      <c r="F8" s="39" t="s">
        <v>98</v>
      </c>
      <c r="G8" s="7" t="s">
        <v>99</v>
      </c>
      <c r="H8" s="5" t="s">
        <v>100</v>
      </c>
      <c r="I8" s="40"/>
      <c r="J8" s="39" t="s">
        <v>95</v>
      </c>
      <c r="L8" s="12">
        <v>3</v>
      </c>
      <c r="M8" s="18" t="s">
        <v>101</v>
      </c>
      <c r="N8" s="33"/>
    </row>
    <row r="9" spans="2:17" ht="13.15" thickBot="1">
      <c r="B9" s="32"/>
      <c r="C9" s="27">
        <v>1</v>
      </c>
      <c r="D9" s="27" t="s">
        <v>102</v>
      </c>
      <c r="E9" s="27">
        <v>3</v>
      </c>
      <c r="F9" s="27">
        <v>2</v>
      </c>
      <c r="G9" s="41">
        <v>1</v>
      </c>
      <c r="H9" s="11">
        <f>SUM(E9:F9)-G9</f>
        <v>4</v>
      </c>
      <c r="J9" s="27">
        <v>1</v>
      </c>
      <c r="L9" s="12">
        <v>2</v>
      </c>
      <c r="M9" s="18" t="s">
        <v>103</v>
      </c>
      <c r="N9" s="33"/>
      <c r="Q9" s="44" t="s">
        <v>104</v>
      </c>
    </row>
    <row r="10" spans="2:17">
      <c r="B10" s="32"/>
      <c r="C10" s="24">
        <v>2</v>
      </c>
      <c r="D10" s="24" t="s">
        <v>105</v>
      </c>
      <c r="E10" s="24">
        <v>3</v>
      </c>
      <c r="F10" s="24">
        <v>2</v>
      </c>
      <c r="G10" s="42">
        <v>1</v>
      </c>
      <c r="H10" s="13">
        <f t="shared" ref="H10:H15" si="0">SUM(E10:F10)-G10</f>
        <v>4</v>
      </c>
      <c r="J10" s="24">
        <v>2</v>
      </c>
      <c r="L10" s="14">
        <v>1</v>
      </c>
      <c r="M10" s="19" t="s">
        <v>106</v>
      </c>
      <c r="N10" s="33"/>
    </row>
    <row r="11" spans="2:17">
      <c r="B11" s="32"/>
      <c r="C11" s="24">
        <v>3</v>
      </c>
      <c r="D11" s="24" t="s">
        <v>107</v>
      </c>
      <c r="E11" s="24">
        <v>3</v>
      </c>
      <c r="F11" s="24">
        <v>2</v>
      </c>
      <c r="G11" s="42">
        <v>1</v>
      </c>
      <c r="H11" s="13">
        <f>SUM(E11:F11)-G11</f>
        <v>4</v>
      </c>
      <c r="J11" s="24">
        <v>3</v>
      </c>
      <c r="N11" s="33"/>
      <c r="Q11" s="39" t="s">
        <v>96</v>
      </c>
    </row>
    <row r="12" spans="2:17">
      <c r="B12" s="32"/>
      <c r="C12" s="24">
        <v>4</v>
      </c>
      <c r="D12" s="24" t="s">
        <v>108</v>
      </c>
      <c r="E12" s="24">
        <v>1</v>
      </c>
      <c r="F12" s="24">
        <v>2</v>
      </c>
      <c r="G12" s="42">
        <v>2</v>
      </c>
      <c r="H12" s="13">
        <f t="shared" si="0"/>
        <v>1</v>
      </c>
      <c r="J12" s="24">
        <v>6</v>
      </c>
      <c r="L12" s="34" t="s">
        <v>109</v>
      </c>
      <c r="N12" s="33"/>
      <c r="Q12" s="27" t="s">
        <v>102</v>
      </c>
    </row>
    <row r="13" spans="2:17">
      <c r="B13" s="32"/>
      <c r="C13" s="24">
        <v>5</v>
      </c>
      <c r="D13" s="24" t="s">
        <v>110</v>
      </c>
      <c r="E13" s="24">
        <v>2</v>
      </c>
      <c r="F13" s="24">
        <v>2</v>
      </c>
      <c r="G13" s="42">
        <v>3</v>
      </c>
      <c r="H13" s="13">
        <f t="shared" si="0"/>
        <v>1</v>
      </c>
      <c r="J13" s="24">
        <v>7</v>
      </c>
      <c r="L13" s="20" t="s">
        <v>93</v>
      </c>
      <c r="M13" s="21" t="s">
        <v>111</v>
      </c>
      <c r="N13" s="33"/>
      <c r="Q13" s="24" t="s">
        <v>105</v>
      </c>
    </row>
    <row r="14" spans="2:17">
      <c r="B14" s="32"/>
      <c r="C14" s="24">
        <v>6</v>
      </c>
      <c r="D14" s="24" t="s">
        <v>112</v>
      </c>
      <c r="E14" s="24">
        <v>2</v>
      </c>
      <c r="F14" s="24">
        <v>1</v>
      </c>
      <c r="G14" s="42">
        <v>1</v>
      </c>
      <c r="H14" s="13">
        <f t="shared" si="0"/>
        <v>2</v>
      </c>
      <c r="J14" s="24">
        <v>4</v>
      </c>
      <c r="L14" s="12">
        <v>3</v>
      </c>
      <c r="M14" s="18" t="s">
        <v>113</v>
      </c>
      <c r="N14" s="33"/>
      <c r="Q14" s="24" t="s">
        <v>107</v>
      </c>
    </row>
    <row r="15" spans="2:17">
      <c r="B15" s="32"/>
      <c r="C15" s="16">
        <v>7</v>
      </c>
      <c r="D15" s="16" t="s">
        <v>114</v>
      </c>
      <c r="E15" s="16">
        <v>2</v>
      </c>
      <c r="F15" s="16">
        <v>1</v>
      </c>
      <c r="G15" s="43">
        <v>1</v>
      </c>
      <c r="H15" s="15">
        <f t="shared" si="0"/>
        <v>2</v>
      </c>
      <c r="J15" s="16">
        <v>5</v>
      </c>
      <c r="L15" s="12">
        <v>2</v>
      </c>
      <c r="M15" s="18" t="s">
        <v>115</v>
      </c>
      <c r="N15" s="33"/>
      <c r="Q15" s="24" t="s">
        <v>108</v>
      </c>
    </row>
    <row r="16" spans="2:17">
      <c r="B16" s="32"/>
      <c r="L16" s="14">
        <v>1</v>
      </c>
      <c r="M16" s="19" t="s">
        <v>116</v>
      </c>
      <c r="N16" s="33"/>
      <c r="Q16" s="24" t="s">
        <v>110</v>
      </c>
    </row>
    <row r="17" spans="2:17" ht="13.15" thickBot="1">
      <c r="B17" s="35"/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  <c r="Q17" s="24" t="s">
        <v>112</v>
      </c>
    </row>
    <row r="18" spans="2:17" ht="13.15" thickBot="1">
      <c r="Q18" s="16" t="s">
        <v>114</v>
      </c>
    </row>
    <row r="19" spans="2:17">
      <c r="B19" s="28"/>
      <c r="C19" s="2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1"/>
    </row>
    <row r="20" spans="2:17" ht="18" thickBot="1">
      <c r="B20" s="32"/>
      <c r="C20" s="109" t="s">
        <v>117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33"/>
    </row>
    <row r="21" spans="2:17" ht="13.15" thickBot="1">
      <c r="B21" s="32"/>
      <c r="N21" s="33"/>
      <c r="Q21" s="44" t="s">
        <v>118</v>
      </c>
    </row>
    <row r="22" spans="2:17">
      <c r="B22" s="32"/>
      <c r="E22" s="3" t="s">
        <v>119</v>
      </c>
      <c r="F22" s="3" t="s">
        <v>111</v>
      </c>
      <c r="N22" s="33"/>
    </row>
    <row r="23" spans="2:17">
      <c r="B23" s="32"/>
      <c r="D23" s="22" t="s">
        <v>96</v>
      </c>
      <c r="E23" s="22" t="s">
        <v>94</v>
      </c>
      <c r="F23" s="22" t="s">
        <v>120</v>
      </c>
      <c r="G23" s="22" t="s">
        <v>121</v>
      </c>
      <c r="H23" s="17" t="s">
        <v>122</v>
      </c>
      <c r="J23" s="17" t="s">
        <v>122</v>
      </c>
      <c r="L23" s="17" t="s">
        <v>123</v>
      </c>
      <c r="N23" s="33"/>
      <c r="Q23" s="39" t="s">
        <v>96</v>
      </c>
    </row>
    <row r="24" spans="2:17">
      <c r="B24" s="32"/>
      <c r="D24" s="24" t="s">
        <v>102</v>
      </c>
      <c r="E24" s="23" t="s">
        <v>101</v>
      </c>
      <c r="F24" s="23" t="s">
        <v>116</v>
      </c>
      <c r="G24" s="23">
        <v>2</v>
      </c>
      <c r="H24" s="23" t="s">
        <v>124</v>
      </c>
      <c r="J24" s="23" t="s">
        <v>124</v>
      </c>
      <c r="L24" s="23">
        <f>SUMIF($H$24:$H$30,J24,$G$24:$G$30)</f>
        <v>6</v>
      </c>
      <c r="N24" s="33"/>
      <c r="Q24" s="27" t="s">
        <v>102</v>
      </c>
    </row>
    <row r="25" spans="2:17">
      <c r="B25" s="32"/>
      <c r="D25" s="24" t="s">
        <v>107</v>
      </c>
      <c r="E25" s="23" t="s">
        <v>101</v>
      </c>
      <c r="F25" s="23" t="s">
        <v>116</v>
      </c>
      <c r="G25" s="23">
        <v>2</v>
      </c>
      <c r="H25" s="23" t="s">
        <v>124</v>
      </c>
      <c r="J25" s="25" t="s">
        <v>125</v>
      </c>
      <c r="L25" s="25">
        <f>SUMIF($H$24:$H$30,J25,$G$24:$G$30)</f>
        <v>25</v>
      </c>
      <c r="N25" s="33"/>
      <c r="Q25" s="24" t="s">
        <v>107</v>
      </c>
    </row>
    <row r="26" spans="2:17">
      <c r="B26" s="32"/>
      <c r="D26" s="24" t="s">
        <v>105</v>
      </c>
      <c r="E26" s="23" t="s">
        <v>101</v>
      </c>
      <c r="F26" s="23" t="s">
        <v>116</v>
      </c>
      <c r="G26" s="23">
        <v>2</v>
      </c>
      <c r="H26" s="23" t="s">
        <v>124</v>
      </c>
      <c r="J26" s="26" t="s">
        <v>126</v>
      </c>
      <c r="L26" s="26">
        <f>SUMIF($H$24:$H$30,J26,$G$24:$G$30)</f>
        <v>13</v>
      </c>
      <c r="N26" s="33"/>
      <c r="Q26" s="24" t="s">
        <v>105</v>
      </c>
    </row>
    <row r="27" spans="2:17">
      <c r="B27" s="32"/>
      <c r="D27" s="24" t="s">
        <v>112</v>
      </c>
      <c r="E27" s="25" t="s">
        <v>103</v>
      </c>
      <c r="F27" s="25" t="s">
        <v>116</v>
      </c>
      <c r="G27" s="25">
        <v>2</v>
      </c>
      <c r="H27" s="25" t="s">
        <v>125</v>
      </c>
      <c r="N27" s="33"/>
      <c r="Q27" s="24" t="s">
        <v>112</v>
      </c>
    </row>
    <row r="28" spans="2:17">
      <c r="B28" s="32"/>
      <c r="D28" s="24" t="s">
        <v>114</v>
      </c>
      <c r="E28" s="25" t="s">
        <v>103</v>
      </c>
      <c r="F28" s="25" t="s">
        <v>116</v>
      </c>
      <c r="G28" s="25">
        <v>2</v>
      </c>
      <c r="H28" s="25" t="s">
        <v>125</v>
      </c>
      <c r="N28" s="33"/>
      <c r="Q28" s="24" t="s">
        <v>114</v>
      </c>
    </row>
    <row r="29" spans="2:17">
      <c r="B29" s="32"/>
      <c r="D29" s="24" t="s">
        <v>108</v>
      </c>
      <c r="E29" s="25" t="s">
        <v>106</v>
      </c>
      <c r="F29" s="25" t="s">
        <v>115</v>
      </c>
      <c r="G29" s="25">
        <v>13</v>
      </c>
      <c r="H29" s="25" t="s">
        <v>126</v>
      </c>
      <c r="N29" s="33"/>
      <c r="Q29" s="24" t="s">
        <v>108</v>
      </c>
    </row>
    <row r="30" spans="2:17">
      <c r="B30" s="32"/>
      <c r="D30" s="16" t="s">
        <v>110</v>
      </c>
      <c r="E30" s="26" t="s">
        <v>103</v>
      </c>
      <c r="F30" s="26" t="s">
        <v>113</v>
      </c>
      <c r="G30" s="26">
        <v>21</v>
      </c>
      <c r="H30" s="26" t="s">
        <v>125</v>
      </c>
      <c r="N30" s="33"/>
      <c r="Q30" s="16" t="s">
        <v>110</v>
      </c>
    </row>
    <row r="31" spans="2:17" ht="13.15" thickBot="1">
      <c r="B31" s="35"/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8"/>
    </row>
  </sheetData>
  <mergeCells count="2">
    <mergeCell ref="C4:M4"/>
    <mergeCell ref="C20:M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Marques</dc:creator>
  <cp:keywords/>
  <dc:description/>
  <cp:lastModifiedBy>MATEUS BORGES GALEANI</cp:lastModifiedBy>
  <cp:revision/>
  <dcterms:created xsi:type="dcterms:W3CDTF">2024-02-06T22:51:09Z</dcterms:created>
  <dcterms:modified xsi:type="dcterms:W3CDTF">2026-05-18T16:11:04Z</dcterms:modified>
  <cp:category/>
  <cp:contentStatus/>
</cp:coreProperties>
</file>